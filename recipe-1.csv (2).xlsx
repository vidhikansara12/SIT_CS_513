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vidhi\Downloads\"/>
    </mc:Choice>
  </mc:AlternateContent>
  <xr:revisionPtr revIDLastSave="0" documentId="13_ncr:1_{6A681EC5-1450-4626-A89F-544B55D3F564}" xr6:coauthVersionLast="47" xr6:coauthVersionMax="47" xr10:uidLastSave="{00000000-0000-0000-0000-000000000000}"/>
  <bookViews>
    <workbookView xWindow="19090" yWindow="-110" windowWidth="19420" windowHeight="10300" firstSheet="1" xr2:uid="{00000000-000D-0000-FFFF-FFFF00000000}"/>
  </bookViews>
  <sheets>
    <sheet name="BinaryData" sheetId="1" r:id="rId1"/>
    <sheet name="JaccardSimilarity" sheetId="2" r:id="rId2"/>
    <sheet name="CosineSimilar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F8" i="3"/>
  <c r="E8" i="3"/>
  <c r="D8" i="3"/>
  <c r="C8" i="3"/>
  <c r="B8" i="3"/>
  <c r="H7" i="3"/>
  <c r="F7" i="3"/>
  <c r="E7" i="3"/>
  <c r="D7" i="3"/>
  <c r="C7" i="3"/>
  <c r="B7" i="3"/>
  <c r="H6" i="3"/>
  <c r="G6" i="3"/>
  <c r="E6" i="3"/>
  <c r="D6" i="3"/>
  <c r="C6" i="3"/>
  <c r="B6" i="3"/>
  <c r="H5" i="3"/>
  <c r="G5" i="3"/>
  <c r="F5" i="3"/>
  <c r="D5" i="3"/>
  <c r="C5" i="3"/>
  <c r="B5" i="3"/>
  <c r="H4" i="3"/>
  <c r="G4" i="3"/>
  <c r="F4" i="3"/>
  <c r="E4" i="3"/>
  <c r="C4" i="3"/>
  <c r="B4" i="3"/>
  <c r="H3" i="3"/>
  <c r="G3" i="3"/>
  <c r="F3" i="3"/>
  <c r="E3" i="3"/>
  <c r="D3" i="3"/>
  <c r="B3" i="3"/>
  <c r="H2" i="3"/>
  <c r="G2" i="3"/>
  <c r="F2" i="3"/>
  <c r="E2" i="3"/>
  <c r="D2" i="3"/>
  <c r="C2" i="3"/>
  <c r="G8" i="2"/>
  <c r="F8" i="2"/>
  <c r="E8" i="2"/>
  <c r="D8" i="2"/>
  <c r="C8" i="2"/>
  <c r="B8" i="2"/>
  <c r="H7" i="2"/>
  <c r="F7" i="2"/>
  <c r="E7" i="2"/>
  <c r="D7" i="2"/>
  <c r="C7" i="2"/>
  <c r="B7" i="2"/>
  <c r="H6" i="2"/>
  <c r="G6" i="2"/>
  <c r="E6" i="2"/>
  <c r="D6" i="2"/>
  <c r="C6" i="2"/>
  <c r="B6" i="2"/>
  <c r="H5" i="2"/>
  <c r="G5" i="2"/>
  <c r="F5" i="2"/>
  <c r="D5" i="2"/>
  <c r="C5" i="2"/>
  <c r="B5" i="2"/>
  <c r="H4" i="2"/>
  <c r="G4" i="2"/>
  <c r="F4" i="2"/>
  <c r="E4" i="2"/>
  <c r="C4" i="2"/>
  <c r="B4" i="2"/>
  <c r="H3" i="2"/>
  <c r="G3" i="2"/>
  <c r="F3" i="2"/>
  <c r="E3" i="2"/>
  <c r="D3" i="2"/>
  <c r="B3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<sst xmlns="http://schemas.openxmlformats.org/spreadsheetml/2006/main" count="71" uniqueCount="43">
  <si>
    <t>Recipe</t>
  </si>
  <si>
    <t>Tomato</t>
  </si>
  <si>
    <t>Garlic</t>
  </si>
  <si>
    <t>Salt</t>
  </si>
  <si>
    <t>Onion</t>
  </si>
  <si>
    <t>TomatoPaste</t>
  </si>
  <si>
    <t>OliveOil</t>
  </si>
  <si>
    <t>Celery</t>
  </si>
  <si>
    <t>Broth</t>
  </si>
  <si>
    <t>GreenPepper</t>
  </si>
  <si>
    <t>Cumin</t>
  </si>
  <si>
    <t>Flour</t>
  </si>
  <si>
    <t>BrownSugar</t>
  </si>
  <si>
    <t>BayLeaf</t>
  </si>
  <si>
    <t>GroundBeef</t>
  </si>
  <si>
    <t>BlackPepper</t>
  </si>
  <si>
    <t>ChiliPowder</t>
  </si>
  <si>
    <t>Cilantro</t>
  </si>
  <si>
    <t>Carrot</t>
  </si>
  <si>
    <t>CayennePepper</t>
  </si>
  <si>
    <t>Oregano</t>
  </si>
  <si>
    <t>Oil</t>
  </si>
  <si>
    <t>Parsley</t>
  </si>
  <si>
    <t>PorkSausage</t>
  </si>
  <si>
    <t>RedPepper</t>
  </si>
  <si>
    <t>Paprika</t>
  </si>
  <si>
    <t>Thyme</t>
  </si>
  <si>
    <t>Tomatillo</t>
  </si>
  <si>
    <t>JalapenoPepper</t>
  </si>
  <si>
    <t>WorcestershireSauce</t>
  </si>
  <si>
    <t>Lime</t>
  </si>
  <si>
    <t>Eggplant</t>
  </si>
  <si>
    <t>GreenOlives</t>
  </si>
  <si>
    <t>Capers</t>
  </si>
  <si>
    <t>Sugar</t>
  </si>
  <si>
    <t>Spag_Sauce</t>
  </si>
  <si>
    <t>Spag_Meat_Sauce</t>
  </si>
  <si>
    <t>Eggplant_Relish</t>
  </si>
  <si>
    <t>Creole_Sauce</t>
  </si>
  <si>
    <t>Salsa</t>
  </si>
  <si>
    <t>Enchilada_Sauce</t>
  </si>
  <si>
    <t>new</t>
  </si>
  <si>
    <t>Vidhi Kansara - 20029476 - HW10 - 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</si>
</sst>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"/>
  <sheetViews>
    <sheetView tabSelected="1" workbookViewId="0">
      <selection activeCell="G13" sqref="G13"/>
    </sheetView>
  </sheetViews>
  <sheetFormatPr defaultRowHeight="14.5" x14ac:dyDescent="0.35"/>
  <cols>
    <col min="4" max="4" width="11.816406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37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1</v>
      </c>
    </row>
    <row r="5" spans="1:35" x14ac:dyDescent="0.35">
      <c r="A5" t="s">
        <v>38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39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40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41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11" spans="1:35" x14ac:dyDescent="0.35">
      <c r="A11" s="1" t="s">
        <v>42</v>
      </c>
      <c r="B11" s="1"/>
      <c r="C11" s="1"/>
      <c r="D11" s="1"/>
    </row>
    <row r="12" spans="1:35" x14ac:dyDescent="0.35">
      <c r="A12" s="1"/>
      <c r="B12" s="1"/>
      <c r="C12" s="1"/>
      <c r="D12" s="1"/>
    </row>
  </sheetData>
  <mergeCells count="1">
    <mergeCell ref="A11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N9" sqref="N9"/>
    </sheetView>
  </sheetViews>
  <sheetFormatPr defaultRowHeight="14.5" x14ac:dyDescent="0.35"/>
  <sheetData>
    <row r="1" spans="1:8" x14ac:dyDescent="0.35"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35">
      <c r="A2" t="s">
        <v>35</v>
      </c>
      <c r="B2">
        <v>1</v>
      </c>
      <c r="C2">
        <f>SUMPRODUCT((BinaryData!B2:AI2=1)*(BinaryData!B3:AI3=1))/SUMPRODUCT((BinaryData!B2:AI2=1)+(BinaryData!B3:AI3=1)-(BinaryData!B2:AI2=1)*(BinaryData!B3:AI3=1))</f>
        <v>0.4</v>
      </c>
      <c r="D2">
        <f>SUMPRODUCT((BinaryData!B2:AI2=1)*(BinaryData!B4:AI4=1))/SUMPRODUCT((BinaryData!B2:AI2=1)+(BinaryData!B4:AI4=1)-(BinaryData!B2:AI2=1)*(BinaryData!B4:AI4=1))</f>
        <v>0.41666666666666669</v>
      </c>
      <c r="E2">
        <f>SUMPRODUCT((BinaryData!B2:AI2=1)*(BinaryData!B5:AI5=1))/SUMPRODUCT((BinaryData!B2:AI2=1)+(BinaryData!B5:AI5=1)-(BinaryData!B2:AI2=1)*(BinaryData!B5:AI5=1))</f>
        <v>0.33333333333333331</v>
      </c>
      <c r="F2">
        <f>SUMPRODUCT((BinaryData!B2:AI2=1)*(BinaryData!B6:AI6=1))/SUMPRODUCT((BinaryData!B2:AI2=1)+(BinaryData!B6:AI6=1)-(BinaryData!B2:AI2=1)*(BinaryData!B6:AI6=1))</f>
        <v>0.30769230769230771</v>
      </c>
      <c r="G2">
        <f>SUMPRODUCT((BinaryData!B2:AI2=1)*(BinaryData!B7:AI7=1))/SUMPRODUCT((BinaryData!B2:AI2=1)+(BinaryData!B7:AI7=1)-(BinaryData!B2:AI2=1)*(BinaryData!B7:AI7=1))</f>
        <v>6.6666666666666666E-2</v>
      </c>
      <c r="H2">
        <f>SUMPRODUCT((BinaryData!B2:AI2=1)*(BinaryData!B8:AI8=1))/SUMPRODUCT((BinaryData!B2:AI2=1)+(BinaryData!B8:AI8=1)-(BinaryData!B2:AI2=1)*(BinaryData!B8:AI8=1))</f>
        <v>0.875</v>
      </c>
    </row>
    <row r="3" spans="1:8" x14ac:dyDescent="0.35">
      <c r="A3" t="s">
        <v>36</v>
      </c>
      <c r="B3">
        <f>SUMPRODUCT((BinaryData!B3:AI3=1)*(BinaryData!B2:AI2=1))/SUMPRODUCT((BinaryData!B3:AI3=1)+(BinaryData!B2:AI2=1)-(BinaryData!B3:AI3=1)*(BinaryData!B2:AI2=1))</f>
        <v>0.4</v>
      </c>
      <c r="C3">
        <v>1</v>
      </c>
      <c r="D3">
        <f>SUMPRODUCT((BinaryData!B3:AI3=1)*(BinaryData!B4:AI4=1))/SUMPRODUCT((BinaryData!B3:AI3=1)+(BinaryData!B4:AI4=1)-(BinaryData!B3:AI3=1)*(BinaryData!B4:AI4=1))</f>
        <v>0.29411764705882354</v>
      </c>
      <c r="E3">
        <f>SUMPRODUCT((BinaryData!B3:AI3=1)*(BinaryData!B5:AI5=1))/SUMPRODUCT((BinaryData!B3:AI3=1)+(BinaryData!B5:AI5=1)-(BinaryData!B3:AI3=1)*(BinaryData!B5:AI5=1))</f>
        <v>0.3888888888888889</v>
      </c>
      <c r="F3">
        <f>SUMPRODUCT((BinaryData!B3:AI3=1)*(BinaryData!B6:AI6=1))/SUMPRODUCT((BinaryData!B3:AI3=1)+(BinaryData!B6:AI6=1)-(BinaryData!B3:AI3=1)*(BinaryData!B6:AI6=1))</f>
        <v>0.22222222222222221</v>
      </c>
      <c r="G3">
        <f>SUMPRODUCT((BinaryData!B3:AI3=1)*(BinaryData!B7:AI7=1))/SUMPRODUCT((BinaryData!B3:AI3=1)+(BinaryData!B7:AI7=1)-(BinaryData!B3:AI3=1)*(BinaryData!B7:AI7=1))</f>
        <v>0.05</v>
      </c>
      <c r="H3">
        <f>SUMPRODUCT((BinaryData!B3:AI3=1)*(BinaryData!B8:AI8=1))/SUMPRODUCT((BinaryData!B3:AI3=1)+(BinaryData!B8:AI8=1)-(BinaryData!B3:AI3=1)*(BinaryData!B8:AI8=1))</f>
        <v>0.33333333333333331</v>
      </c>
    </row>
    <row r="4" spans="1:8" x14ac:dyDescent="0.35">
      <c r="A4" t="s">
        <v>37</v>
      </c>
      <c r="B4">
        <f>SUMPRODUCT((BinaryData!B4:AI4=1)*(BinaryData!B2:AI2=1))/SUMPRODUCT((BinaryData!B4:AI4=1)+(BinaryData!B2:AI2=1)-(BinaryData!B4:AI4=1)*(BinaryData!B2:AI2=1))</f>
        <v>0.41666666666666669</v>
      </c>
      <c r="C4">
        <f>SUMPRODUCT((BinaryData!B4:AI4=1)*(BinaryData!B3:AI3=1))/SUMPRODUCT((BinaryData!B4:AI4=1)+(BinaryData!B3:AI3=1)-(BinaryData!B4:AI4=1)*(BinaryData!B3:AI3=1))</f>
        <v>0.29411764705882354</v>
      </c>
      <c r="D4">
        <v>1</v>
      </c>
      <c r="E4">
        <f>SUMPRODUCT((BinaryData!B4:AI4=1)*(BinaryData!B5:AI5=1))/SUMPRODUCT((BinaryData!B4:AI4=1)+(BinaryData!B5:AI5=1)-(BinaryData!B4:AI4=1)*(BinaryData!B5:AI5=1))</f>
        <v>0.23529411764705882</v>
      </c>
      <c r="F4">
        <f>SUMPRODUCT((BinaryData!B4:AI4=1)*(BinaryData!B6:AI6=1))/SUMPRODUCT((BinaryData!B4:AI4=1)+(BinaryData!B6:AI6=1)-(BinaryData!B4:AI4=1)*(BinaryData!B6:AI6=1))</f>
        <v>0.2</v>
      </c>
      <c r="G4">
        <f>SUMPRODUCT((BinaryData!B4:AI4=1)*(BinaryData!B7:AI7=1))/SUMPRODUCT((BinaryData!B4:AI4=1)+(BinaryData!B7:AI7=1)-(BinaryData!B4:AI4=1)*(BinaryData!B7:AI7=1))</f>
        <v>0</v>
      </c>
      <c r="H4">
        <f>SUMPRODUCT((BinaryData!B4:AI4=1)*(BinaryData!B8:AI8=1))/SUMPRODUCT((BinaryData!B4:AI4=1)+(BinaryData!B8:AI8=1)-(BinaryData!B4:AI4=1)*(BinaryData!B8:AI8=1))</f>
        <v>0.33333333333333331</v>
      </c>
    </row>
    <row r="5" spans="1:8" x14ac:dyDescent="0.35">
      <c r="A5" t="s">
        <v>38</v>
      </c>
      <c r="B5">
        <f>SUMPRODUCT((BinaryData!B5:AI5=1)*(BinaryData!B2:AI2=1))/SUMPRODUCT((BinaryData!B5:AI5=1)+(BinaryData!B2:AI2=1)-(BinaryData!B5:AI5=1)*(BinaryData!B2:AI2=1))</f>
        <v>0.33333333333333331</v>
      </c>
      <c r="C5">
        <f>SUMPRODUCT((BinaryData!B5:AI5=1)*(BinaryData!B3:AI3=1))/SUMPRODUCT((BinaryData!B5:AI5=1)+(BinaryData!B3:AI3=1)-(BinaryData!B5:AI5=1)*(BinaryData!B3:AI3=1))</f>
        <v>0.3888888888888889</v>
      </c>
      <c r="D5">
        <f>SUMPRODUCT((BinaryData!B5:AI5=1)*(BinaryData!B4:AI4=1))/SUMPRODUCT((BinaryData!B5:AI5=1)+(BinaryData!B4:AI4=1)-(BinaryData!B5:AI5=1)*(BinaryData!B4:AI4=1))</f>
        <v>0.23529411764705882</v>
      </c>
      <c r="E5">
        <v>1</v>
      </c>
      <c r="F5">
        <f>SUMPRODUCT((BinaryData!B5:AI5=1)*(BinaryData!B6:AI6=1))/SUMPRODUCT((BinaryData!B5:AI5=1)+(BinaryData!B6:AI6=1)-(BinaryData!B5:AI5=1)*(BinaryData!B6:AI6=1))</f>
        <v>0.16666666666666666</v>
      </c>
      <c r="G5">
        <f>SUMPRODUCT((BinaryData!B5:AI5=1)*(BinaryData!B7:AI7=1))/SUMPRODUCT((BinaryData!B5:AI5=1)+(BinaryData!B7:AI7=1)-(BinaryData!B5:AI5=1)*(BinaryData!B7:AI7=1))</f>
        <v>0.1111111111111111</v>
      </c>
      <c r="H5">
        <f>SUMPRODUCT((BinaryData!B5:AI5=1)*(BinaryData!B8:AI8=1))/SUMPRODUCT((BinaryData!B5:AI5=1)+(BinaryData!B8:AI8=1)-(BinaryData!B5:AI5=1)*(BinaryData!B8:AI8=1))</f>
        <v>0.26666666666666666</v>
      </c>
    </row>
    <row r="6" spans="1:8" x14ac:dyDescent="0.35">
      <c r="A6" t="s">
        <v>39</v>
      </c>
      <c r="B6">
        <f>SUMPRODUCT((BinaryData!B6:AI6=1)*(BinaryData!B2:AI2=1))/SUMPRODUCT((BinaryData!B6:AI6=1)+(BinaryData!B2:AI2=1)-(BinaryData!B6:AI6=1)*(BinaryData!B2:AI2=1))</f>
        <v>0.30769230769230771</v>
      </c>
      <c r="C6">
        <f>SUMPRODUCT((BinaryData!B6:AI6=1)*(BinaryData!B3:AI3=1))/SUMPRODUCT((BinaryData!B6:AI6=1)+(BinaryData!B3:AI3=1)-(BinaryData!B6:AI6=1)*(BinaryData!B3:AI3=1))</f>
        <v>0.22222222222222221</v>
      </c>
      <c r="D6">
        <f>SUMPRODUCT((BinaryData!B6:AI6=1)*(BinaryData!B4:AI4=1))/SUMPRODUCT((BinaryData!B6:AI6=1)+(BinaryData!B4:AI4=1)-(BinaryData!B6:AI6=1)*(BinaryData!B4:AI4=1))</f>
        <v>0.2</v>
      </c>
      <c r="E6">
        <f>SUMPRODUCT((BinaryData!B6:AI6=1)*(BinaryData!B5:AI5=1))/SUMPRODUCT((BinaryData!B6:AI6=1)+(BinaryData!B5:AI5=1)-(BinaryData!B6:AI6=1)*(BinaryData!B5:AI5=1))</f>
        <v>0.16666666666666666</v>
      </c>
      <c r="F6">
        <v>1</v>
      </c>
      <c r="G6">
        <f>SUMPRODUCT((BinaryData!B6:AI6=1)*(BinaryData!B7:AI7=1))/SUMPRODUCT((BinaryData!B6:AI6=1)+(BinaryData!B7:AI7=1)-(BinaryData!B6:AI6=1)*(BinaryData!B7:AI7=1))</f>
        <v>0.13333333333333333</v>
      </c>
      <c r="H6">
        <f>SUMPRODUCT((BinaryData!B6:AI6=1)*(BinaryData!B8:AI8=1))/SUMPRODUCT((BinaryData!B6:AI6=1)+(BinaryData!B8:AI8=1)-(BinaryData!B6:AI6=1)*(BinaryData!B8:AI8=1))</f>
        <v>0.33333333333333331</v>
      </c>
    </row>
    <row r="7" spans="1:8" x14ac:dyDescent="0.35">
      <c r="A7" t="s">
        <v>40</v>
      </c>
      <c r="B7">
        <f>SUMPRODUCT((BinaryData!B7:AI7=1)*(BinaryData!B2:AI2=1))/SUMPRODUCT((BinaryData!B7:AI7=1)+(BinaryData!B2:AI2=1)-(BinaryData!B7:AI7=1)*(BinaryData!B2:AI2=1))</f>
        <v>6.6666666666666666E-2</v>
      </c>
      <c r="C7">
        <f>SUMPRODUCT((BinaryData!B7:AI7=1)*(BinaryData!B3:AI3=1))/SUMPRODUCT((BinaryData!B7:AI7=1)+(BinaryData!B3:AI3=1)-(BinaryData!B7:AI7=1)*(BinaryData!B3:AI3=1))</f>
        <v>0.05</v>
      </c>
      <c r="D7">
        <f>SUMPRODUCT((BinaryData!B7:AI7=1)*(BinaryData!B4:AI4=1))/SUMPRODUCT((BinaryData!B7:AI7=1)+(BinaryData!B4:AI4=1)-(BinaryData!B7:AI7=1)*(BinaryData!B4:AI4=1))</f>
        <v>0</v>
      </c>
      <c r="E7">
        <f>SUMPRODUCT((BinaryData!B7:AI7=1)*(BinaryData!B5:AI5=1))/SUMPRODUCT((BinaryData!B7:AI7=1)+(BinaryData!B5:AI5=1)-(BinaryData!B7:AI7=1)*(BinaryData!B5:AI5=1))</f>
        <v>0.1111111111111111</v>
      </c>
      <c r="F7">
        <f>SUMPRODUCT((BinaryData!B7:AI7=1)*(BinaryData!B6:AI6=1))/SUMPRODUCT((BinaryData!B7:AI7=1)+(BinaryData!B6:AI6=1)-(BinaryData!B7:AI7=1)*(BinaryData!B6:AI6=1))</f>
        <v>0.13333333333333333</v>
      </c>
      <c r="G7">
        <v>1</v>
      </c>
      <c r="H7">
        <f>SUMPRODUCT((BinaryData!B7:AI7=1)*(BinaryData!B8:AI8=1))/SUMPRODUCT((BinaryData!B7:AI7=1)+(BinaryData!B8:AI8=1)-(BinaryData!B7:AI7=1)*(BinaryData!B8:AI8=1))</f>
        <v>7.1428571428571425E-2</v>
      </c>
    </row>
    <row r="8" spans="1:8" x14ac:dyDescent="0.35">
      <c r="A8" t="s">
        <v>41</v>
      </c>
      <c r="B8">
        <f>SUMPRODUCT((BinaryData!B8:AI8=1)*(BinaryData!B2:AI2=1))/SUMPRODUCT((BinaryData!B8:AI8=1)+(BinaryData!B2:AI2=1)-(BinaryData!B8:AI8=1)*(BinaryData!B2:AI2=1))</f>
        <v>0.875</v>
      </c>
      <c r="C8">
        <f>SUMPRODUCT((BinaryData!B8:AI8=1)*(BinaryData!B3:AI3=1))/SUMPRODUCT((BinaryData!B8:AI8=1)+(BinaryData!B3:AI3=1)-(BinaryData!B8:AI8=1)*(BinaryData!B3:AI3=1))</f>
        <v>0.33333333333333331</v>
      </c>
      <c r="D8">
        <f>SUMPRODUCT((BinaryData!B8:AI8=1)*(BinaryData!B4:AI4=1))/SUMPRODUCT((BinaryData!B8:AI8=1)+(BinaryData!B4:AI4=1)-(BinaryData!B8:AI8=1)*(BinaryData!B4:AI4=1))</f>
        <v>0.33333333333333331</v>
      </c>
      <c r="E8">
        <f>SUMPRODUCT((BinaryData!B8:AI8=1)*(BinaryData!B5:AI5=1))/SUMPRODUCT((BinaryData!B8:AI8=1)+(BinaryData!B5:AI5=1)-(BinaryData!B8:AI8=1)*(BinaryData!B5:AI5=1))</f>
        <v>0.26666666666666666</v>
      </c>
      <c r="F8">
        <f>SUMPRODUCT((BinaryData!B8:AI8=1)*(BinaryData!B6:AI6=1))/SUMPRODUCT((BinaryData!B8:AI8=1)+(BinaryData!B6:AI6=1)-(BinaryData!B8:AI8=1)*(BinaryData!B6:AI6=1))</f>
        <v>0.33333333333333331</v>
      </c>
      <c r="G8">
        <f>SUMPRODUCT((BinaryData!B8:AI8=1)*(BinaryData!B7:AI7=1))/SUMPRODUCT((BinaryData!B8:AI8=1)+(BinaryData!B7:AI7=1)-(BinaryData!B8:AI8=1)*(BinaryData!B7:AI7=1))</f>
        <v>7.1428571428571425E-2</v>
      </c>
      <c r="H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H8" sqref="H8"/>
    </sheetView>
  </sheetViews>
  <sheetFormatPr defaultRowHeight="14.5" x14ac:dyDescent="0.35"/>
  <sheetData>
    <row r="1" spans="1:8" x14ac:dyDescent="0.35"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35">
      <c r="A2" t="s">
        <v>35</v>
      </c>
      <c r="B2">
        <v>1</v>
      </c>
      <c r="C2">
        <f>SUMPRODUCT(BinaryData!B2:AI2,BinaryData!B3:AI3)/(SQRT(SUMSQ(BinaryData!B2:AI2))*SQRT(SUMSQ(BinaryData!B3:AI3)))</f>
        <v>0.58834840541455202</v>
      </c>
      <c r="D2">
        <f>SUMPRODUCT(BinaryData!B2:AI2,BinaryData!B4:AI4)/(SQRT(SUMSQ(BinaryData!B2:AI2))*SQRT(SUMSQ(BinaryData!B4:AI4)))</f>
        <v>0.58925565098878951</v>
      </c>
      <c r="E2">
        <f>SUMPRODUCT(BinaryData!B2:AI2,BinaryData!B5:AI5)/(SQRT(SUMSQ(BinaryData!B2:AI2))*SQRT(SUMSQ(BinaryData!B5:AI5)))</f>
        <v>0.51031036307982869</v>
      </c>
      <c r="F2">
        <f>SUMPRODUCT(BinaryData!B2:AI2,BinaryData!B6:AI6)/(SQRT(SUMSQ(BinaryData!B2:AI2))*SQRT(SUMSQ(BinaryData!B6:AI6)))</f>
        <v>0.47140452079103162</v>
      </c>
      <c r="G2">
        <f>SUMPRODUCT(BinaryData!B2:AI2,BinaryData!B7:AI7)/(SQRT(SUMSQ(BinaryData!B2:AI2))*SQRT(SUMSQ(BinaryData!B7:AI7)))</f>
        <v>0.12499999999999997</v>
      </c>
      <c r="H2">
        <f>SUMPRODUCT(BinaryData!B2:AI2,BinaryData!B8:AI8)/(SQRT(SUMSQ(BinaryData!B2:AI2))*SQRT(SUMSQ(BinaryData!B8:AI8)))</f>
        <v>0.93541434669348522</v>
      </c>
    </row>
    <row r="3" spans="1:8" x14ac:dyDescent="0.35">
      <c r="A3" t="s">
        <v>36</v>
      </c>
      <c r="B3">
        <f>SUMPRODUCT(BinaryData!B3:AI3,BinaryData!B2:AI2)/(SQRT(SUMSQ(BinaryData!B3:AI3))*SQRT(SUMSQ(BinaryData!B2:AI2)))</f>
        <v>0.58834840541455202</v>
      </c>
      <c r="C3">
        <v>1</v>
      </c>
      <c r="D3">
        <f>SUMPRODUCT(BinaryData!B3:AI3,BinaryData!B4:AI4)/(SQRT(SUMSQ(BinaryData!B3:AI3))*SQRT(SUMSQ(BinaryData!B4:AI4)))</f>
        <v>0.46225016352102433</v>
      </c>
      <c r="E3">
        <f>SUMPRODUCT(BinaryData!B3:AI3,BinaryData!B5:AI5)/(SQRT(SUMSQ(BinaryData!B3:AI3))*SQRT(SUMSQ(BinaryData!B5:AI5)))</f>
        <v>0.56044853831780506</v>
      </c>
      <c r="F3">
        <f>SUMPRODUCT(BinaryData!B3:AI3,BinaryData!B6:AI6)/(SQRT(SUMSQ(BinaryData!B3:AI3))*SQRT(SUMSQ(BinaryData!B6:AI6)))</f>
        <v>0.36980013081681945</v>
      </c>
      <c r="G3">
        <f>SUMPRODUCT(BinaryData!B3:AI3,BinaryData!B7:AI7)/(SQRT(SUMSQ(BinaryData!B3:AI3))*SQRT(SUMSQ(BinaryData!B7:AI7)))</f>
        <v>9.8058067569092008E-2</v>
      </c>
      <c r="H3">
        <f>SUMPRODUCT(BinaryData!B3:AI3,BinaryData!B8:AI8)/(SQRT(SUMSQ(BinaryData!B3:AI3))*SQRT(SUMSQ(BinaryData!B8:AI8)))</f>
        <v>0.52414241836095921</v>
      </c>
    </row>
    <row r="4" spans="1:8" x14ac:dyDescent="0.35">
      <c r="A4" t="s">
        <v>37</v>
      </c>
      <c r="B4">
        <f>SUMPRODUCT(BinaryData!B4:AI4,BinaryData!B2:AI2)/(SQRT(SUMSQ(BinaryData!B4:AI4))*SQRT(SUMSQ(BinaryData!B2:AI2)))</f>
        <v>0.58925565098878951</v>
      </c>
      <c r="C4">
        <f>SUMPRODUCT(BinaryData!B4:AI4,BinaryData!B3:AI3)/(SQRT(SUMSQ(BinaryData!B4:AI4))*SQRT(SUMSQ(BinaryData!B3:AI3)))</f>
        <v>0.46225016352102433</v>
      </c>
      <c r="D4">
        <v>1</v>
      </c>
      <c r="E4">
        <f>SUMPRODUCT(BinaryData!B4:AI4,BinaryData!B5:AI5)/(SQRT(SUMSQ(BinaryData!B4:AI4))*SQRT(SUMSQ(BinaryData!B5:AI5)))</f>
        <v>0.38490017945975052</v>
      </c>
      <c r="F4">
        <f>SUMPRODUCT(BinaryData!B4:AI4,BinaryData!B6:AI6)/(SQRT(SUMSQ(BinaryData!B4:AI4))*SQRT(SUMSQ(BinaryData!B6:AI6)))</f>
        <v>0.33333333333333331</v>
      </c>
      <c r="G4">
        <f>SUMPRODUCT(BinaryData!B4:AI4,BinaryData!B7:AI7)/(SQRT(SUMSQ(BinaryData!B4:AI4))*SQRT(SUMSQ(BinaryData!B7:AI7)))</f>
        <v>0</v>
      </c>
      <c r="H4">
        <f>SUMPRODUCT(BinaryData!B4:AI4,BinaryData!B8:AI8)/(SQRT(SUMSQ(BinaryData!B4:AI4))*SQRT(SUMSQ(BinaryData!B8:AI8)))</f>
        <v>0.50395263067896956</v>
      </c>
    </row>
    <row r="5" spans="1:8" x14ac:dyDescent="0.35">
      <c r="A5" t="s">
        <v>38</v>
      </c>
      <c r="B5">
        <f>SUMPRODUCT(BinaryData!B5:AI5,BinaryData!B2:AI2)/(SQRT(SUMSQ(BinaryData!B5:AI5))*SQRT(SUMSQ(BinaryData!B2:AI2)))</f>
        <v>0.51031036307982869</v>
      </c>
      <c r="C5">
        <f>SUMPRODUCT(BinaryData!B5:AI5,BinaryData!B3:AI3)/(SQRT(SUMSQ(BinaryData!B5:AI5))*SQRT(SUMSQ(BinaryData!B3:AI3)))</f>
        <v>0.56044853831780506</v>
      </c>
      <c r="D5">
        <f>SUMPRODUCT(BinaryData!B5:AI5,BinaryData!B4:AI4)/(SQRT(SUMSQ(BinaryData!B5:AI5))*SQRT(SUMSQ(BinaryData!B4:AI4)))</f>
        <v>0.38490017945975052</v>
      </c>
      <c r="E5">
        <v>1</v>
      </c>
      <c r="F5">
        <f>SUMPRODUCT(BinaryData!B5:AI5,BinaryData!B6:AI6)/(SQRT(SUMSQ(BinaryData!B5:AI5))*SQRT(SUMSQ(BinaryData!B6:AI6)))</f>
        <v>0.28867513459481287</v>
      </c>
      <c r="G5">
        <f>SUMPRODUCT(BinaryData!B5:AI5,BinaryData!B7:AI7)/(SQRT(SUMSQ(BinaryData!B5:AI5))*SQRT(SUMSQ(BinaryData!B7:AI7)))</f>
        <v>0.20412414523193148</v>
      </c>
      <c r="H5">
        <f>SUMPRODUCT(BinaryData!B5:AI5,BinaryData!B8:AI8)/(SQRT(SUMSQ(BinaryData!B5:AI5))*SQRT(SUMSQ(BinaryData!B8:AI8)))</f>
        <v>0.43643578047198478</v>
      </c>
    </row>
    <row r="6" spans="1:8" x14ac:dyDescent="0.35">
      <c r="A6" t="s">
        <v>39</v>
      </c>
      <c r="B6">
        <f>SUMPRODUCT(BinaryData!B6:AI6,BinaryData!B2:AI2)/(SQRT(SUMSQ(BinaryData!B6:AI6))*SQRT(SUMSQ(BinaryData!B2:AI2)))</f>
        <v>0.47140452079103162</v>
      </c>
      <c r="C6">
        <f>SUMPRODUCT(BinaryData!B6:AI6,BinaryData!B3:AI3)/(SQRT(SUMSQ(BinaryData!B6:AI6))*SQRT(SUMSQ(BinaryData!B3:AI3)))</f>
        <v>0.36980013081681945</v>
      </c>
      <c r="D6">
        <f>SUMPRODUCT(BinaryData!B6:AI6,BinaryData!B4:AI4)/(SQRT(SUMSQ(BinaryData!B6:AI6))*SQRT(SUMSQ(BinaryData!B4:AI4)))</f>
        <v>0.33333333333333331</v>
      </c>
      <c r="E6">
        <f>SUMPRODUCT(BinaryData!B6:AI6,BinaryData!B5:AI5)/(SQRT(SUMSQ(BinaryData!B6:AI6))*SQRT(SUMSQ(BinaryData!B5:AI5)))</f>
        <v>0.28867513459481287</v>
      </c>
      <c r="F6">
        <v>1</v>
      </c>
      <c r="G6">
        <f>SUMPRODUCT(BinaryData!B6:AI6,BinaryData!B7:AI7)/(SQRT(SUMSQ(BinaryData!B6:AI6))*SQRT(SUMSQ(BinaryData!B7:AI7)))</f>
        <v>0.23570226039551581</v>
      </c>
      <c r="H6">
        <f>SUMPRODUCT(BinaryData!B6:AI6,BinaryData!B8:AI8)/(SQRT(SUMSQ(BinaryData!B6:AI6))*SQRT(SUMSQ(BinaryData!B8:AI8)))</f>
        <v>0.50395263067896956</v>
      </c>
    </row>
    <row r="7" spans="1:8" x14ac:dyDescent="0.35">
      <c r="A7" t="s">
        <v>40</v>
      </c>
      <c r="B7">
        <f>SUMPRODUCT(BinaryData!B7:AI7,BinaryData!B2:AI2)/(SQRT(SUMSQ(BinaryData!B7:AI7))*SQRT(SUMSQ(BinaryData!B2:AI2)))</f>
        <v>0.12499999999999997</v>
      </c>
      <c r="C7">
        <f>SUMPRODUCT(BinaryData!B7:AI7,BinaryData!B3:AI3)/(SQRT(SUMSQ(BinaryData!B7:AI7))*SQRT(SUMSQ(BinaryData!B3:AI3)))</f>
        <v>9.8058067569092008E-2</v>
      </c>
      <c r="D7">
        <f>SUMPRODUCT(BinaryData!B7:AI7,BinaryData!B4:AI4)/(SQRT(SUMSQ(BinaryData!B7:AI7))*SQRT(SUMSQ(BinaryData!B4:AI4)))</f>
        <v>0</v>
      </c>
      <c r="E7">
        <f>SUMPRODUCT(BinaryData!B7:AI7,BinaryData!B5:AI5)/(SQRT(SUMSQ(BinaryData!B7:AI7))*SQRT(SUMSQ(BinaryData!B5:AI5)))</f>
        <v>0.20412414523193148</v>
      </c>
      <c r="F7">
        <f>SUMPRODUCT(BinaryData!B7:AI7,BinaryData!B6:AI6)/(SQRT(SUMSQ(BinaryData!B7:AI7))*SQRT(SUMSQ(BinaryData!B6:AI6)))</f>
        <v>0.23570226039551581</v>
      </c>
      <c r="G7">
        <v>1</v>
      </c>
      <c r="H7">
        <f>SUMPRODUCT(BinaryData!B7:AI7,BinaryData!B8:AI8)/(SQRT(SUMSQ(BinaryData!B7:AI7))*SQRT(SUMSQ(BinaryData!B8:AI8)))</f>
        <v>0.13363062095621217</v>
      </c>
    </row>
    <row r="8" spans="1:8" x14ac:dyDescent="0.35">
      <c r="A8" t="s">
        <v>41</v>
      </c>
      <c r="B8">
        <f>SUMPRODUCT(BinaryData!B8:AI8,BinaryData!B2:AI2)/(SQRT(SUMSQ(BinaryData!B8:AI8))*SQRT(SUMSQ(BinaryData!B2:AI2)))</f>
        <v>0.93541434669348522</v>
      </c>
      <c r="C8">
        <f>SUMPRODUCT(BinaryData!B8:AI8,BinaryData!B3:AI3)/(SQRT(SUMSQ(BinaryData!B8:AI8))*SQRT(SUMSQ(BinaryData!B3:AI3)))</f>
        <v>0.52414241836095921</v>
      </c>
      <c r="D8">
        <f>SUMPRODUCT(BinaryData!B8:AI8,BinaryData!B4:AI4)/(SQRT(SUMSQ(BinaryData!B8:AI8))*SQRT(SUMSQ(BinaryData!B4:AI4)))</f>
        <v>0.50395263067896956</v>
      </c>
      <c r="E8">
        <f>SUMPRODUCT(BinaryData!B8:AI8,BinaryData!B5:AI5)/(SQRT(SUMSQ(BinaryData!B8:AI8))*SQRT(SUMSQ(BinaryData!B5:AI5)))</f>
        <v>0.43643578047198478</v>
      </c>
      <c r="F8">
        <f>SUMPRODUCT(BinaryData!B8:AI8,BinaryData!B6:AI6)/(SQRT(SUMSQ(BinaryData!B8:AI8))*SQRT(SUMSQ(BinaryData!B6:AI6)))</f>
        <v>0.50395263067896956</v>
      </c>
      <c r="G8">
        <f>SUMPRODUCT(BinaryData!B8:AI8,BinaryData!B7:AI7)/(SQRT(SUMSQ(BinaryData!B8:AI8))*SQRT(SUMSQ(BinaryData!B7:AI7)))</f>
        <v>0.13363062095621217</v>
      </c>
      <c r="H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BinaryData</vt:lpstr>
      <vt:lpstr>JaccardSimilarity</vt:lpstr>
      <vt:lpstr>CosineSimilarity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Vidhi Kansara</cp:lastModifiedBy>
  <dcterms:created xsi:type="dcterms:W3CDTF">2025-04-30T19:30:10Z</dcterms:created>
  <dcterms:modified xsi:type="dcterms:W3CDTF">2025-05-01T02:24:56Z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2025-04-30T19:36:47Z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03f7df67-f24c-4d64-8230-0258eb685aba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