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dhi\Downloads\"/>
    </mc:Choice>
  </mc:AlternateContent>
  <xr:revisionPtr revIDLastSave="0" documentId="13_ncr:1_{5200AE35-796F-4F99-A6BF-7D30DE8378D3}" xr6:coauthVersionLast="47" xr6:coauthVersionMax="47" xr10:uidLastSave="{00000000-0000-0000-0000-000000000000}"/>
  <bookViews>
    <workbookView xWindow="19090" yWindow="-110" windowWidth="19420" windowHeight="10300" xr2:uid="{9B2751A6-3730-4D84-AC7E-9064B0B260AC}"/>
  </bookViews>
  <sheets>
    <sheet name="6.1" sheetId="2" r:id="rId1"/>
  </sheets>
  <definedNames>
    <definedName name="_xlnm._FilterDatabase" localSheetId="0" hidden="1">'6.1'!$A$1:$F$12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2" l="1"/>
  <c r="M43" i="2"/>
  <c r="N37" i="2"/>
  <c r="N36" i="2"/>
  <c r="M37" i="2"/>
  <c r="E4" i="2"/>
  <c r="K44" i="2"/>
  <c r="L43" i="2" s="1"/>
  <c r="K38" i="2"/>
  <c r="L37" i="2" s="1"/>
  <c r="F5" i="2"/>
  <c r="F3" i="2"/>
  <c r="F4" i="2"/>
  <c r="F6" i="2"/>
  <c r="F7" i="2"/>
  <c r="F8" i="2"/>
  <c r="F9" i="2"/>
  <c r="F10" i="2"/>
  <c r="F11" i="2"/>
  <c r="F12" i="2"/>
  <c r="F2" i="2"/>
  <c r="E3" i="2"/>
  <c r="E5" i="2"/>
  <c r="E6" i="2"/>
  <c r="E7" i="2"/>
  <c r="E8" i="2"/>
  <c r="E9" i="2"/>
  <c r="E10" i="2"/>
  <c r="E11" i="2"/>
  <c r="E12" i="2"/>
  <c r="E2" i="2"/>
  <c r="L34" i="2" l="1"/>
  <c r="N34" i="2" s="1"/>
  <c r="K10" i="2"/>
  <c r="L35" i="2"/>
  <c r="M35" i="2" s="1"/>
  <c r="L40" i="2"/>
  <c r="N40" i="2" s="1"/>
  <c r="L41" i="2"/>
  <c r="L42" i="2"/>
  <c r="M41" i="2"/>
  <c r="N41" i="2" s="1"/>
  <c r="L36" i="2"/>
  <c r="K13" i="2"/>
  <c r="K32" i="2"/>
  <c r="K5" i="2"/>
  <c r="K6" i="2"/>
  <c r="K7" i="2"/>
  <c r="K11" i="2"/>
  <c r="K12" i="2"/>
  <c r="K18" i="2"/>
  <c r="B19" i="2"/>
  <c r="K17" i="2"/>
  <c r="K24" i="2"/>
  <c r="B18" i="2"/>
  <c r="K25" i="2"/>
  <c r="B17" i="2"/>
  <c r="K16" i="2"/>
  <c r="K22" i="2"/>
  <c r="K23" i="2"/>
  <c r="K4" i="2"/>
  <c r="B16" i="2"/>
  <c r="L31" i="2" l="1"/>
  <c r="N35" i="2"/>
  <c r="N38" i="2" s="1"/>
  <c r="M36" i="2"/>
  <c r="M42" i="2"/>
  <c r="N42" i="2" s="1"/>
  <c r="N44" i="2" s="1"/>
  <c r="L30" i="2"/>
  <c r="L29" i="2"/>
  <c r="L28" i="2"/>
  <c r="K14" i="2"/>
  <c r="L11" i="2" s="1"/>
  <c r="N11" i="2" s="1"/>
  <c r="K26" i="2"/>
  <c r="L23" i="2" s="1"/>
  <c r="M23" i="2" s="1"/>
  <c r="N23" i="2" s="1"/>
  <c r="L22" i="2"/>
  <c r="K20" i="2"/>
  <c r="K8" i="2"/>
  <c r="B20" i="2"/>
  <c r="C19" i="2" s="1"/>
  <c r="O27" i="2" l="1"/>
  <c r="L24" i="2"/>
  <c r="N24" i="2" s="1"/>
  <c r="L25" i="2"/>
  <c r="N25" i="2" s="1"/>
  <c r="L13" i="2"/>
  <c r="M13" i="2" s="1"/>
  <c r="N13" i="2" s="1"/>
  <c r="L4" i="2"/>
  <c r="M29" i="2"/>
  <c r="N29" i="2" s="1"/>
  <c r="M28" i="2"/>
  <c r="N28" i="2" s="1"/>
  <c r="M30" i="2"/>
  <c r="N30" i="2" s="1"/>
  <c r="L10" i="2"/>
  <c r="N10" i="2" s="1"/>
  <c r="C16" i="2"/>
  <c r="D16" i="2" s="1"/>
  <c r="E16" i="2" s="1"/>
  <c r="L12" i="2"/>
  <c r="M12" i="2" s="1"/>
  <c r="N12" i="2" s="1"/>
  <c r="N14" i="2" s="1"/>
  <c r="C18" i="2"/>
  <c r="D18" i="2" s="1"/>
  <c r="E18" i="2" s="1"/>
  <c r="D19" i="2"/>
  <c r="E19" i="2" s="1"/>
  <c r="M4" i="2"/>
  <c r="L18" i="2"/>
  <c r="M18" i="2" s="1"/>
  <c r="N18" i="2" s="1"/>
  <c r="L19" i="2"/>
  <c r="N19" i="2" s="1"/>
  <c r="L17" i="2"/>
  <c r="M22" i="2"/>
  <c r="N22" i="2" s="1"/>
  <c r="N26" i="2" s="1"/>
  <c r="C17" i="2"/>
  <c r="L16" i="2"/>
  <c r="N16" i="2" s="1"/>
  <c r="L5" i="2"/>
  <c r="L6" i="2"/>
  <c r="L7" i="2"/>
  <c r="N4" i="2" l="1"/>
  <c r="N32" i="2"/>
  <c r="M5" i="2"/>
  <c r="N5" i="2" s="1"/>
  <c r="D17" i="2"/>
  <c r="E17" i="2" s="1"/>
  <c r="E20" i="2" s="1"/>
  <c r="M17" i="2"/>
  <c r="N17" i="2" s="1"/>
  <c r="N20" i="2" s="1"/>
  <c r="M6" i="2"/>
  <c r="N6" i="2" s="1"/>
  <c r="P27" i="2" l="1"/>
  <c r="N8" i="2"/>
  <c r="O4" i="2" s="1"/>
  <c r="P4" i="2" s="1"/>
</calcChain>
</file>

<file path=xl/sharedStrings.xml><?xml version="1.0" encoding="utf-8"?>
<sst xmlns="http://schemas.openxmlformats.org/spreadsheetml/2006/main" count="124" uniqueCount="35">
  <si>
    <t>Occupation</t>
  </si>
  <si>
    <t>Gender</t>
  </si>
  <si>
    <t>Age</t>
  </si>
  <si>
    <t>Salary</t>
  </si>
  <si>
    <t>Service</t>
  </si>
  <si>
    <t xml:space="preserve">Female </t>
  </si>
  <si>
    <t xml:space="preserve">Male </t>
  </si>
  <si>
    <t>Management</t>
  </si>
  <si>
    <t>Sales</t>
  </si>
  <si>
    <t>Staff</t>
  </si>
  <si>
    <t>L2</t>
  </si>
  <si>
    <t>L1</t>
  </si>
  <si>
    <t>L4</t>
  </si>
  <si>
    <t>L3</t>
  </si>
  <si>
    <t>&lt;=40</t>
  </si>
  <si>
    <t>&lt;=30</t>
  </si>
  <si>
    <t>&lt;=50</t>
  </si>
  <si>
    <t>log2(pj)</t>
  </si>
  <si>
    <t>-pj*log2(pj)</t>
  </si>
  <si>
    <t>Count</t>
  </si>
  <si>
    <t>weighted entropy</t>
  </si>
  <si>
    <t>Total</t>
  </si>
  <si>
    <t>TOTAL</t>
  </si>
  <si>
    <t>Level</t>
  </si>
  <si>
    <t>pj</t>
  </si>
  <si>
    <t>management</t>
  </si>
  <si>
    <t>count</t>
  </si>
  <si>
    <t>COUNT</t>
  </si>
  <si>
    <t>staff</t>
  </si>
  <si>
    <t>information gain</t>
  </si>
  <si>
    <t>Split</t>
  </si>
  <si>
    <t>Subtypes</t>
  </si>
  <si>
    <t>VIDHI KANSARA - 20029476</t>
  </si>
  <si>
    <r>
      <t xml:space="preserve">Since Information gain of Occupation is more then Age, the best split is </t>
    </r>
    <r>
      <rPr>
        <b/>
        <sz val="11"/>
        <color theme="1"/>
        <rFont val="Aptos Narrow"/>
        <family val="2"/>
        <scheme val="minor"/>
      </rPr>
      <t>OCCUPATION</t>
    </r>
  </si>
  <si>
    <t>6.1 - C4.5 using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</si>
</sst>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165" fontId="0" fillId="0" borderId="1" xfId="0" applyNumberFormat="1" applyBorder="1"/>
    <xf numFmtId="0" fontId="0" fillId="3" borderId="1" xfId="0" applyFill="1" applyBorder="1"/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2F77-9862-4941-AB1A-03546DCD099B}">
  <dimension ref="A1:U47"/>
  <sheetViews>
    <sheetView tabSelected="1" topLeftCell="G28" workbookViewId="0">
      <selection activeCell="O27" sqref="O27:O44"/>
    </sheetView>
  </sheetViews>
  <sheetFormatPr defaultRowHeight="14.5" x14ac:dyDescent="0.35"/>
  <cols>
    <col min="1" max="1" width="12.453125" customWidth="1"/>
    <col min="5" max="5" width="11.7265625" customWidth="1"/>
    <col min="8" max="8" width="10.90625" customWidth="1"/>
    <col min="9" max="9" width="13.36328125" customWidth="1"/>
    <col min="11" max="11" width="10.453125" customWidth="1"/>
    <col min="12" max="12" width="13" customWidth="1"/>
    <col min="14" max="14" width="11.81640625" bestFit="1" customWidth="1"/>
    <col min="15" max="15" width="14.6328125" bestFit="1" customWidth="1"/>
    <col min="16" max="16" width="15.9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</v>
      </c>
    </row>
    <row r="2" spans="1:16" x14ac:dyDescent="0.35">
      <c r="A2" s="1" t="s">
        <v>4</v>
      </c>
      <c r="B2" s="1" t="s">
        <v>5</v>
      </c>
      <c r="C2" s="1">
        <v>45</v>
      </c>
      <c r="D2" s="1">
        <v>48000</v>
      </c>
      <c r="E2" s="1" t="str">
        <f>IF(D2&lt;35000,"L1",IF(D2&lt;45000,"L2",IF(D2&lt;55000,"L3","L4")))</f>
        <v>L3</v>
      </c>
      <c r="F2" s="1" t="str">
        <f>IF(C2&lt;=30,"&lt;=30",IF(C2&lt;=40,"&lt;=40","&lt;=50"))</f>
        <v>&lt;=50</v>
      </c>
    </row>
    <row r="3" spans="1:16" x14ac:dyDescent="0.35">
      <c r="A3" s="1" t="s">
        <v>4</v>
      </c>
      <c r="B3" s="1" t="s">
        <v>6</v>
      </c>
      <c r="C3" s="1">
        <v>25</v>
      </c>
      <c r="D3" s="1">
        <v>25000</v>
      </c>
      <c r="E3" s="1" t="str">
        <f t="shared" ref="E3:E12" si="0">IF(D3&lt;35000,"L1",IF(D3&lt;45000,"L2",IF(D3&lt;55000,"L3","L4")))</f>
        <v>L1</v>
      </c>
      <c r="F3" s="1" t="str">
        <f t="shared" ref="F3:F12" si="1">IF(C3&lt;=30,"&lt;=30",IF(C3&lt;=40,"&lt;=40","&lt;=50"))</f>
        <v>&lt;=30</v>
      </c>
      <c r="H3" s="7" t="s">
        <v>30</v>
      </c>
      <c r="I3" s="7" t="s">
        <v>31</v>
      </c>
      <c r="J3" s="7" t="s">
        <v>23</v>
      </c>
      <c r="K3" s="7" t="s">
        <v>19</v>
      </c>
      <c r="L3" s="7" t="s">
        <v>24</v>
      </c>
      <c r="M3" s="7" t="s">
        <v>17</v>
      </c>
      <c r="N3" s="8" t="s">
        <v>18</v>
      </c>
      <c r="O3" s="7" t="s">
        <v>20</v>
      </c>
      <c r="P3" s="7" t="s">
        <v>29</v>
      </c>
    </row>
    <row r="4" spans="1:16" x14ac:dyDescent="0.35">
      <c r="A4" s="1" t="s">
        <v>4</v>
      </c>
      <c r="B4" s="1" t="s">
        <v>6</v>
      </c>
      <c r="C4" s="1">
        <v>33</v>
      </c>
      <c r="D4" s="1">
        <v>35000</v>
      </c>
      <c r="E4" s="1" t="str">
        <f>IF(D4&lt;35000,"L1",IF(D4&lt;45000,"L2",IF(D4&lt;55000,"L3","L4")))</f>
        <v>L2</v>
      </c>
      <c r="F4" s="1" t="str">
        <f t="shared" si="1"/>
        <v>&lt;=40</v>
      </c>
      <c r="H4" s="11" t="s">
        <v>0</v>
      </c>
      <c r="I4" s="10" t="s">
        <v>4</v>
      </c>
      <c r="J4" s="1" t="s">
        <v>11</v>
      </c>
      <c r="K4" s="1">
        <f>COUNTIFS($A$2:$A$12, "Service", $E$2:$E$12, "L1")</f>
        <v>1</v>
      </c>
      <c r="L4" s="3">
        <f>K4/K8</f>
        <v>0.33333333333333331</v>
      </c>
      <c r="M4" s="6" t="str">
        <f>IMLOG2(L4)</f>
        <v>-1.58496250072116</v>
      </c>
      <c r="N4" s="3">
        <f>-L4*M4</f>
        <v>0.52832083357371995</v>
      </c>
      <c r="O4" s="16">
        <f>(K8/B20*N8) + (K14/B20*N14) + (K20/B20*N20) + (K26/B20*N26)</f>
        <v>1.1595352274694073</v>
      </c>
      <c r="P4" s="19">
        <f>E20-O4</f>
        <v>0.77672480006212163</v>
      </c>
    </row>
    <row r="5" spans="1:16" x14ac:dyDescent="0.35">
      <c r="A5" s="1" t="s">
        <v>7</v>
      </c>
      <c r="B5" s="1" t="s">
        <v>6</v>
      </c>
      <c r="C5" s="1">
        <v>25</v>
      </c>
      <c r="D5" s="1">
        <v>45000</v>
      </c>
      <c r="E5" s="1" t="str">
        <f t="shared" si="0"/>
        <v>L3</v>
      </c>
      <c r="F5" s="1" t="str">
        <f>IF(C5&lt;=30,"&lt;=30",IF(C5&lt;=40,"&lt;=40","&lt;=50"))</f>
        <v>&lt;=30</v>
      </c>
      <c r="H5" s="12"/>
      <c r="I5" s="10"/>
      <c r="J5" s="1" t="s">
        <v>10</v>
      </c>
      <c r="K5" s="1">
        <f>COUNTIFS($A$2:$A$12, "Service", $E$2:$E$12, "L2")</f>
        <v>1</v>
      </c>
      <c r="L5" s="3">
        <f>K5/K8</f>
        <v>0.33333333333333331</v>
      </c>
      <c r="M5" s="6" t="str">
        <f t="shared" ref="M5:M6" si="2">IMLOG2(L5)</f>
        <v>-1.58496250072116</v>
      </c>
      <c r="N5" s="3">
        <f t="shared" ref="N5:N6" si="3">-L5*M5</f>
        <v>0.52832083357371995</v>
      </c>
      <c r="O5" s="17"/>
      <c r="P5" s="20"/>
    </row>
    <row r="6" spans="1:16" x14ac:dyDescent="0.35">
      <c r="A6" s="1" t="s">
        <v>7</v>
      </c>
      <c r="B6" s="1" t="s">
        <v>5</v>
      </c>
      <c r="C6" s="1">
        <v>35</v>
      </c>
      <c r="D6" s="1">
        <v>65000</v>
      </c>
      <c r="E6" s="1" t="str">
        <f t="shared" si="0"/>
        <v>L4</v>
      </c>
      <c r="F6" s="1" t="str">
        <f t="shared" si="1"/>
        <v>&lt;=40</v>
      </c>
      <c r="H6" s="12"/>
      <c r="I6" s="10"/>
      <c r="J6" s="1" t="s">
        <v>13</v>
      </c>
      <c r="K6" s="1">
        <f>COUNTIFS($A$2:$A$12, "Service", $E$2:$E$12, "L3")</f>
        <v>1</v>
      </c>
      <c r="L6" s="3">
        <f>K6/K8</f>
        <v>0.33333333333333331</v>
      </c>
      <c r="M6" s="6" t="str">
        <f t="shared" si="2"/>
        <v>-1.58496250072116</v>
      </c>
      <c r="N6" s="3">
        <f t="shared" si="3"/>
        <v>0.52832083357371995</v>
      </c>
      <c r="O6" s="17"/>
      <c r="P6" s="20"/>
    </row>
    <row r="7" spans="1:16" x14ac:dyDescent="0.35">
      <c r="A7" s="1" t="s">
        <v>7</v>
      </c>
      <c r="B7" s="1" t="s">
        <v>6</v>
      </c>
      <c r="C7" s="1">
        <v>26</v>
      </c>
      <c r="D7" s="1">
        <v>45000</v>
      </c>
      <c r="E7" s="1" t="str">
        <f t="shared" si="0"/>
        <v>L3</v>
      </c>
      <c r="F7" s="1" t="str">
        <f t="shared" si="1"/>
        <v>&lt;=30</v>
      </c>
      <c r="H7" s="12"/>
      <c r="I7" s="10"/>
      <c r="J7" s="1" t="s">
        <v>12</v>
      </c>
      <c r="K7" s="1">
        <f>COUNTIFS($A$2:$A$12, "Service", $E$2:$E$12, "L4")</f>
        <v>0</v>
      </c>
      <c r="L7" s="1">
        <f>K7/K8</f>
        <v>0</v>
      </c>
      <c r="M7" s="1">
        <v>0</v>
      </c>
      <c r="N7" s="1">
        <v>0</v>
      </c>
      <c r="O7" s="17"/>
      <c r="P7" s="20"/>
    </row>
    <row r="8" spans="1:16" x14ac:dyDescent="0.35">
      <c r="A8" s="1" t="s">
        <v>7</v>
      </c>
      <c r="B8" s="1" t="s">
        <v>5</v>
      </c>
      <c r="C8" s="1">
        <v>45</v>
      </c>
      <c r="D8" s="1">
        <v>70000</v>
      </c>
      <c r="E8" s="1" t="str">
        <f t="shared" si="0"/>
        <v>L4</v>
      </c>
      <c r="F8" s="1" t="str">
        <f t="shared" si="1"/>
        <v>&lt;=50</v>
      </c>
      <c r="H8" s="12"/>
      <c r="I8" s="10"/>
      <c r="J8" s="1" t="s">
        <v>22</v>
      </c>
      <c r="K8" s="1">
        <f>SUM(K4:K7)</f>
        <v>3</v>
      </c>
      <c r="L8" s="1"/>
      <c r="M8" s="1"/>
      <c r="N8" s="5">
        <f>SUM(N4:N7)</f>
        <v>1.5849625007211599</v>
      </c>
      <c r="O8" s="17"/>
      <c r="P8" s="20"/>
    </row>
    <row r="9" spans="1:16" x14ac:dyDescent="0.35">
      <c r="A9" s="1" t="s">
        <v>8</v>
      </c>
      <c r="B9" s="1" t="s">
        <v>5</v>
      </c>
      <c r="C9" s="1">
        <v>40</v>
      </c>
      <c r="D9" s="1">
        <v>50000</v>
      </c>
      <c r="E9" s="1" t="str">
        <f t="shared" si="0"/>
        <v>L3</v>
      </c>
      <c r="F9" s="1" t="str">
        <f t="shared" si="1"/>
        <v>&lt;=40</v>
      </c>
      <c r="H9" s="12"/>
      <c r="I9" s="10" t="s">
        <v>25</v>
      </c>
      <c r="J9" s="7" t="s">
        <v>23</v>
      </c>
      <c r="K9" s="7" t="s">
        <v>26</v>
      </c>
      <c r="L9" s="7" t="s">
        <v>24</v>
      </c>
      <c r="M9" s="7" t="s">
        <v>17</v>
      </c>
      <c r="N9" s="8" t="s">
        <v>18</v>
      </c>
      <c r="O9" s="17"/>
      <c r="P9" s="20"/>
    </row>
    <row r="10" spans="1:16" x14ac:dyDescent="0.35">
      <c r="A10" s="1" t="s">
        <v>8</v>
      </c>
      <c r="B10" s="1" t="s">
        <v>6</v>
      </c>
      <c r="C10" s="1">
        <v>30</v>
      </c>
      <c r="D10" s="1">
        <v>40000</v>
      </c>
      <c r="E10" s="1" t="str">
        <f t="shared" si="0"/>
        <v>L2</v>
      </c>
      <c r="F10" s="1" t="str">
        <f t="shared" si="1"/>
        <v>&lt;=30</v>
      </c>
      <c r="H10" s="12"/>
      <c r="I10" s="10"/>
      <c r="J10" s="1" t="s">
        <v>11</v>
      </c>
      <c r="K10" s="1">
        <f>COUNTIFS($A$2:$A$12, "Management", $E$2:$E$12, "L1")</f>
        <v>0</v>
      </c>
      <c r="L10" s="1">
        <f>K10/K14</f>
        <v>0</v>
      </c>
      <c r="M10" s="1">
        <v>0</v>
      </c>
      <c r="N10" s="1">
        <f>-L10*M10</f>
        <v>0</v>
      </c>
      <c r="O10" s="17"/>
      <c r="P10" s="20"/>
    </row>
    <row r="11" spans="1:16" x14ac:dyDescent="0.35">
      <c r="A11" s="1" t="s">
        <v>9</v>
      </c>
      <c r="B11" s="1" t="s">
        <v>5</v>
      </c>
      <c r="C11" s="1">
        <v>50</v>
      </c>
      <c r="D11" s="1">
        <v>40000</v>
      </c>
      <c r="E11" s="1" t="str">
        <f t="shared" si="0"/>
        <v>L2</v>
      </c>
      <c r="F11" s="1" t="str">
        <f t="shared" si="1"/>
        <v>&lt;=50</v>
      </c>
      <c r="H11" s="12"/>
      <c r="I11" s="10"/>
      <c r="J11" s="1" t="s">
        <v>10</v>
      </c>
      <c r="K11" s="1">
        <f>COUNTIFS($A$2:$A$12, "Management", $E$2:$E$12, "L2")</f>
        <v>0</v>
      </c>
      <c r="L11" s="1">
        <f>K11/K14</f>
        <v>0</v>
      </c>
      <c r="M11" s="1">
        <v>0</v>
      </c>
      <c r="N11" s="1">
        <f t="shared" ref="N11:N13" si="4">-L11*M11</f>
        <v>0</v>
      </c>
      <c r="O11" s="17"/>
      <c r="P11" s="20"/>
    </row>
    <row r="12" spans="1:16" x14ac:dyDescent="0.35">
      <c r="A12" s="1" t="s">
        <v>9</v>
      </c>
      <c r="B12" s="1" t="s">
        <v>6</v>
      </c>
      <c r="C12" s="1">
        <v>25</v>
      </c>
      <c r="D12" s="1">
        <v>25000</v>
      </c>
      <c r="E12" s="1" t="str">
        <f t="shared" si="0"/>
        <v>L1</v>
      </c>
      <c r="F12" s="1" t="str">
        <f t="shared" si="1"/>
        <v>&lt;=30</v>
      </c>
      <c r="H12" s="12"/>
      <c r="I12" s="10"/>
      <c r="J12" s="1" t="s">
        <v>13</v>
      </c>
      <c r="K12" s="1">
        <f>COUNTIFS($A$2:$A$12, "Management", $E$2:$E$12, "L3")</f>
        <v>2</v>
      </c>
      <c r="L12" s="1">
        <f>K12/K14</f>
        <v>0.5</v>
      </c>
      <c r="M12" s="1" t="str">
        <f t="shared" ref="M12:M13" si="5">IMLOG2(L12)</f>
        <v>-1</v>
      </c>
      <c r="N12" s="1">
        <f t="shared" si="4"/>
        <v>0.5</v>
      </c>
      <c r="O12" s="17"/>
      <c r="P12" s="20"/>
    </row>
    <row r="13" spans="1:16" x14ac:dyDescent="0.35">
      <c r="H13" s="12"/>
      <c r="I13" s="10"/>
      <c r="J13" s="1" t="s">
        <v>12</v>
      </c>
      <c r="K13" s="1">
        <f>COUNTIFS($A$2:$A$12, "Management", $E$2:$E$12, "L4")</f>
        <v>2</v>
      </c>
      <c r="L13" s="1">
        <f>K13/K14</f>
        <v>0.5</v>
      </c>
      <c r="M13" s="1" t="str">
        <f t="shared" si="5"/>
        <v>-1</v>
      </c>
      <c r="N13" s="1">
        <f t="shared" si="4"/>
        <v>0.5</v>
      </c>
      <c r="O13" s="17"/>
      <c r="P13" s="20"/>
    </row>
    <row r="14" spans="1:16" x14ac:dyDescent="0.35">
      <c r="H14" s="12"/>
      <c r="I14" s="10"/>
      <c r="J14" s="1" t="s">
        <v>22</v>
      </c>
      <c r="K14" s="1">
        <f>SUM(K10:K13)</f>
        <v>4</v>
      </c>
      <c r="L14" s="1"/>
      <c r="M14" s="1"/>
      <c r="N14" s="4">
        <f>SUM(N10:N13)</f>
        <v>1</v>
      </c>
      <c r="O14" s="17"/>
      <c r="P14" s="20"/>
    </row>
    <row r="15" spans="1:16" x14ac:dyDescent="0.35">
      <c r="A15" s="1" t="s">
        <v>23</v>
      </c>
      <c r="B15" s="1" t="s">
        <v>19</v>
      </c>
      <c r="C15" s="1" t="s">
        <v>24</v>
      </c>
      <c r="D15" s="1" t="s">
        <v>17</v>
      </c>
      <c r="E15" s="2" t="s">
        <v>18</v>
      </c>
      <c r="H15" s="12"/>
      <c r="I15" s="10" t="s">
        <v>8</v>
      </c>
      <c r="J15" s="7" t="s">
        <v>23</v>
      </c>
      <c r="K15" s="7" t="s">
        <v>27</v>
      </c>
      <c r="L15" s="7" t="s">
        <v>24</v>
      </c>
      <c r="M15" s="7" t="s">
        <v>17</v>
      </c>
      <c r="N15" s="8" t="s">
        <v>18</v>
      </c>
      <c r="O15" s="17"/>
      <c r="P15" s="20"/>
    </row>
    <row r="16" spans="1:16" x14ac:dyDescent="0.35">
      <c r="A16" s="1" t="s">
        <v>11</v>
      </c>
      <c r="B16" s="1">
        <f>COUNTIFS($E$2:$E$12, "L1")</f>
        <v>2</v>
      </c>
      <c r="C16" s="1">
        <f>B16/B20</f>
        <v>0.18181818181818182</v>
      </c>
      <c r="D16" s="1" t="str">
        <f>IMLOG2(C16)</f>
        <v>-2.4594316186373</v>
      </c>
      <c r="E16" s="1">
        <f>-C16*D16</f>
        <v>0.44716938520678184</v>
      </c>
      <c r="H16" s="12"/>
      <c r="I16" s="10"/>
      <c r="J16" s="1" t="s">
        <v>11</v>
      </c>
      <c r="K16" s="1">
        <f>COUNTIFS($A$2:$A$12, "Sales", $E$2:$E$12, "L1")</f>
        <v>0</v>
      </c>
      <c r="L16" s="1">
        <f>K16/K20</f>
        <v>0</v>
      </c>
      <c r="M16" s="1">
        <v>0</v>
      </c>
      <c r="N16" s="1">
        <f>-L16*M16</f>
        <v>0</v>
      </c>
      <c r="O16" s="17"/>
      <c r="P16" s="20"/>
    </row>
    <row r="17" spans="1:21" x14ac:dyDescent="0.35">
      <c r="A17" s="1" t="s">
        <v>10</v>
      </c>
      <c r="B17" s="1">
        <f>COUNTIFS($E$2:$E$12, "L2")</f>
        <v>3</v>
      </c>
      <c r="C17" s="1">
        <f>B17/B20</f>
        <v>0.27272727272727271</v>
      </c>
      <c r="D17" s="1" t="str">
        <f t="shared" ref="D17:D19" si="6">IMLOG2(C17)</f>
        <v>-1.87446911791614</v>
      </c>
      <c r="E17" s="1">
        <f t="shared" ref="E17:E19" si="7">-C17*D17</f>
        <v>0.51121885034076542</v>
      </c>
      <c r="H17" s="12"/>
      <c r="I17" s="10"/>
      <c r="J17" s="1" t="s">
        <v>10</v>
      </c>
      <c r="K17" s="1">
        <f>COUNTIFS($A$2:$A$12, "Sales", $E$2:$E$12, "L2")</f>
        <v>1</v>
      </c>
      <c r="L17" s="1">
        <f>K17/K20</f>
        <v>0.5</v>
      </c>
      <c r="M17" s="1" t="str">
        <f t="shared" ref="M17:M18" si="8">IMLOG2(L17)</f>
        <v>-1</v>
      </c>
      <c r="N17" s="1">
        <f t="shared" ref="N17:N19" si="9">-L17*M17</f>
        <v>0.5</v>
      </c>
      <c r="O17" s="17"/>
      <c r="P17" s="20"/>
    </row>
    <row r="18" spans="1:21" x14ac:dyDescent="0.35">
      <c r="A18" s="1" t="s">
        <v>13</v>
      </c>
      <c r="B18" s="1">
        <f>COUNTIFS($E$2:$E$12, "L3")</f>
        <v>4</v>
      </c>
      <c r="C18" s="1">
        <f>B18/B20</f>
        <v>0.36363636363636365</v>
      </c>
      <c r="D18" s="1" t="str">
        <f t="shared" si="6"/>
        <v>-1.4594316186373</v>
      </c>
      <c r="E18" s="1">
        <f t="shared" si="7"/>
        <v>0.53070240677720004</v>
      </c>
      <c r="H18" s="12"/>
      <c r="I18" s="10"/>
      <c r="J18" s="1" t="s">
        <v>13</v>
      </c>
      <c r="K18" s="1">
        <f>COUNTIFS($A$2:$A$12, "Sales", $E$2:$E$12, "L3")</f>
        <v>1</v>
      </c>
      <c r="L18" s="1">
        <f>K18/K20</f>
        <v>0.5</v>
      </c>
      <c r="M18" s="1" t="str">
        <f t="shared" si="8"/>
        <v>-1</v>
      </c>
      <c r="N18" s="1">
        <f t="shared" si="9"/>
        <v>0.5</v>
      </c>
      <c r="O18" s="17"/>
      <c r="P18" s="20"/>
      <c r="U18" s="9"/>
    </row>
    <row r="19" spans="1:21" x14ac:dyDescent="0.35">
      <c r="A19" s="1" t="s">
        <v>12</v>
      </c>
      <c r="B19" s="1">
        <f>COUNTIFS($E$2:$E$12, "L4")</f>
        <v>2</v>
      </c>
      <c r="C19" s="1">
        <f>B19/B20</f>
        <v>0.18181818181818182</v>
      </c>
      <c r="D19" s="1" t="str">
        <f t="shared" si="6"/>
        <v>-2.4594316186373</v>
      </c>
      <c r="E19" s="1">
        <f t="shared" si="7"/>
        <v>0.44716938520678184</v>
      </c>
      <c r="H19" s="12"/>
      <c r="I19" s="10"/>
      <c r="J19" s="1" t="s">
        <v>12</v>
      </c>
      <c r="K19" s="1">
        <v>0</v>
      </c>
      <c r="L19" s="1">
        <f>K19/K20</f>
        <v>0</v>
      </c>
      <c r="M19" s="1">
        <v>0</v>
      </c>
      <c r="N19" s="1">
        <f t="shared" si="9"/>
        <v>0</v>
      </c>
      <c r="O19" s="17"/>
      <c r="P19" s="20"/>
    </row>
    <row r="20" spans="1:21" x14ac:dyDescent="0.35">
      <c r="A20" s="1" t="s">
        <v>21</v>
      </c>
      <c r="B20" s="1">
        <f>SUM(B16:B19)</f>
        <v>11</v>
      </c>
      <c r="C20" s="1"/>
      <c r="D20" s="1"/>
      <c r="E20" s="1">
        <f>SUM(E16:E19)</f>
        <v>1.9362600275315289</v>
      </c>
      <c r="H20" s="12"/>
      <c r="I20" s="10"/>
      <c r="J20" s="1" t="s">
        <v>22</v>
      </c>
      <c r="K20" s="1">
        <f>SUM(K16:K19)</f>
        <v>2</v>
      </c>
      <c r="L20" s="1"/>
      <c r="M20" s="1"/>
      <c r="N20" s="4">
        <f>SUM(N16:N19)</f>
        <v>1</v>
      </c>
      <c r="O20" s="17"/>
      <c r="P20" s="20"/>
    </row>
    <row r="21" spans="1:21" x14ac:dyDescent="0.35">
      <c r="H21" s="12"/>
      <c r="I21" s="22" t="s">
        <v>28</v>
      </c>
      <c r="J21" s="7" t="s">
        <v>23</v>
      </c>
      <c r="K21" s="7" t="s">
        <v>26</v>
      </c>
      <c r="L21" s="7" t="s">
        <v>24</v>
      </c>
      <c r="M21" s="7" t="s">
        <v>17</v>
      </c>
      <c r="N21" s="8" t="s">
        <v>18</v>
      </c>
      <c r="O21" s="17"/>
      <c r="P21" s="20"/>
    </row>
    <row r="22" spans="1:21" x14ac:dyDescent="0.35">
      <c r="H22" s="12"/>
      <c r="I22" s="22"/>
      <c r="J22" s="1" t="s">
        <v>11</v>
      </c>
      <c r="K22" s="1">
        <f>COUNTIFS($A$2:$A$12, "Staff", $E$2:$E$12, "L1")</f>
        <v>1</v>
      </c>
      <c r="L22" s="1">
        <f>K22/K26</f>
        <v>0.5</v>
      </c>
      <c r="M22" s="1" t="str">
        <f t="shared" ref="M22:M23" si="10">IMLOG2(L22)</f>
        <v>-1</v>
      </c>
      <c r="N22" s="1">
        <f>-L22*M22</f>
        <v>0.5</v>
      </c>
      <c r="O22" s="17"/>
      <c r="P22" s="20"/>
    </row>
    <row r="23" spans="1:21" x14ac:dyDescent="0.35">
      <c r="H23" s="12"/>
      <c r="I23" s="22"/>
      <c r="J23" s="1" t="s">
        <v>10</v>
      </c>
      <c r="K23" s="1">
        <f>COUNTIFS($A$2:$A$12, "Staff", $E$2:$E$12, "L2")</f>
        <v>1</v>
      </c>
      <c r="L23" s="1">
        <f>K23/K26</f>
        <v>0.5</v>
      </c>
      <c r="M23" s="1" t="str">
        <f t="shared" si="10"/>
        <v>-1</v>
      </c>
      <c r="N23" s="1">
        <f t="shared" ref="N23:N25" si="11">-L23*M23</f>
        <v>0.5</v>
      </c>
      <c r="O23" s="17"/>
      <c r="P23" s="20"/>
    </row>
    <row r="24" spans="1:21" x14ac:dyDescent="0.35">
      <c r="A24" s="14" t="s">
        <v>32</v>
      </c>
      <c r="B24" s="14"/>
      <c r="C24" s="14"/>
      <c r="H24" s="12"/>
      <c r="I24" s="22"/>
      <c r="J24" s="1" t="s">
        <v>13</v>
      </c>
      <c r="K24" s="1">
        <f>COUNTIFS($A$2:$A$12, "Staff", $E$2:$E$12, "L3")</f>
        <v>0</v>
      </c>
      <c r="L24" s="1">
        <f>K24/K26</f>
        <v>0</v>
      </c>
      <c r="M24" s="1">
        <v>0</v>
      </c>
      <c r="N24" s="1">
        <f t="shared" si="11"/>
        <v>0</v>
      </c>
      <c r="O24" s="17"/>
      <c r="P24" s="20"/>
      <c r="U24" s="9"/>
    </row>
    <row r="25" spans="1:21" x14ac:dyDescent="0.35">
      <c r="A25" s="14"/>
      <c r="B25" s="14"/>
      <c r="C25" s="14"/>
      <c r="H25" s="12"/>
      <c r="I25" s="22"/>
      <c r="J25" s="1" t="s">
        <v>12</v>
      </c>
      <c r="K25" s="1">
        <f>COUNTIFS($A$2:$A$12, "Staff", $E$2:$E$12, "L4")</f>
        <v>0</v>
      </c>
      <c r="L25" s="1">
        <f>K25/K26</f>
        <v>0</v>
      </c>
      <c r="M25" s="1">
        <v>0</v>
      </c>
      <c r="N25" s="1">
        <f t="shared" si="11"/>
        <v>0</v>
      </c>
      <c r="O25" s="17"/>
      <c r="P25" s="20"/>
    </row>
    <row r="26" spans="1:21" x14ac:dyDescent="0.35">
      <c r="A26" t="s">
        <v>34</v>
      </c>
      <c r="H26" s="13"/>
      <c r="I26" s="22"/>
      <c r="J26" s="1" t="s">
        <v>22</v>
      </c>
      <c r="K26" s="1">
        <f>SUM(K22:K25)</f>
        <v>2</v>
      </c>
      <c r="L26" s="1"/>
      <c r="M26" s="1"/>
      <c r="N26" s="4">
        <f>SUM(N22:N25)</f>
        <v>1</v>
      </c>
      <c r="O26" s="18"/>
      <c r="P26" s="21"/>
    </row>
    <row r="27" spans="1:21" x14ac:dyDescent="0.35">
      <c r="H27" s="10" t="s">
        <v>2</v>
      </c>
      <c r="I27" s="22" t="s">
        <v>15</v>
      </c>
      <c r="J27" s="7" t="s">
        <v>23</v>
      </c>
      <c r="K27" s="7" t="s">
        <v>26</v>
      </c>
      <c r="L27" s="7" t="s">
        <v>24</v>
      </c>
      <c r="M27" s="7" t="s">
        <v>17</v>
      </c>
      <c r="N27" s="8" t="s">
        <v>18</v>
      </c>
      <c r="O27" s="15">
        <f>(K32/B20*N32)+(K38/B20*N38)+(K44/B20*N44)</f>
        <v>1.5563104980694327</v>
      </c>
      <c r="P27" s="15">
        <f>E20-O27</f>
        <v>0.37994952946209626</v>
      </c>
    </row>
    <row r="28" spans="1:21" x14ac:dyDescent="0.35">
      <c r="H28" s="10"/>
      <c r="I28" s="22"/>
      <c r="J28" s="1" t="s">
        <v>11</v>
      </c>
      <c r="K28" s="1">
        <v>2</v>
      </c>
      <c r="L28" s="1">
        <f>K28/K32</f>
        <v>0.4</v>
      </c>
      <c r="M28" s="1" t="str">
        <f t="shared" ref="M28:M30" si="12">IMLOG2(L28)</f>
        <v>-1.32192809488736</v>
      </c>
      <c r="N28" s="3">
        <f>-L28*M28</f>
        <v>0.52877123795494396</v>
      </c>
      <c r="O28" s="15"/>
      <c r="P28" s="15"/>
    </row>
    <row r="29" spans="1:21" x14ac:dyDescent="0.35">
      <c r="H29" s="10"/>
      <c r="I29" s="22"/>
      <c r="J29" s="1" t="s">
        <v>10</v>
      </c>
      <c r="K29" s="1">
        <v>1</v>
      </c>
      <c r="L29" s="1">
        <f>K29/K32</f>
        <v>0.2</v>
      </c>
      <c r="M29" s="1" t="str">
        <f t="shared" si="12"/>
        <v>-2.32192809488736</v>
      </c>
      <c r="N29" s="3">
        <f t="shared" ref="N29:N30" si="13">-L29*M29</f>
        <v>0.46438561897747199</v>
      </c>
      <c r="O29" s="15"/>
      <c r="P29" s="15"/>
    </row>
    <row r="30" spans="1:21" x14ac:dyDescent="0.35">
      <c r="H30" s="10"/>
      <c r="I30" s="22"/>
      <c r="J30" s="1" t="s">
        <v>13</v>
      </c>
      <c r="K30" s="1">
        <v>2</v>
      </c>
      <c r="L30" s="1">
        <f>K30/K32</f>
        <v>0.4</v>
      </c>
      <c r="M30" s="1" t="str">
        <f t="shared" si="12"/>
        <v>-1.32192809488736</v>
      </c>
      <c r="N30" s="3">
        <f t="shared" si="13"/>
        <v>0.52877123795494396</v>
      </c>
      <c r="O30" s="15"/>
      <c r="P30" s="15"/>
      <c r="U30" s="9"/>
    </row>
    <row r="31" spans="1:21" x14ac:dyDescent="0.35">
      <c r="H31" s="10"/>
      <c r="I31" s="22"/>
      <c r="J31" s="1" t="s">
        <v>12</v>
      </c>
      <c r="K31" s="1">
        <v>0</v>
      </c>
      <c r="L31" s="1">
        <f>K31/K32</f>
        <v>0</v>
      </c>
      <c r="M31" s="1">
        <v>0</v>
      </c>
      <c r="N31" s="3">
        <v>0</v>
      </c>
      <c r="O31" s="15"/>
      <c r="P31" s="15"/>
    </row>
    <row r="32" spans="1:21" x14ac:dyDescent="0.35">
      <c r="H32" s="10"/>
      <c r="I32" s="22"/>
      <c r="J32" s="1" t="s">
        <v>22</v>
      </c>
      <c r="K32" s="1">
        <f>SUM(K28:K31)</f>
        <v>5</v>
      </c>
      <c r="L32" s="1"/>
      <c r="M32" s="1"/>
      <c r="N32" s="5">
        <f>SUM(N28:N31)</f>
        <v>1.5219280948873599</v>
      </c>
      <c r="O32" s="15"/>
      <c r="P32" s="15"/>
    </row>
    <row r="33" spans="1:21" x14ac:dyDescent="0.35">
      <c r="H33" s="10"/>
      <c r="I33" s="22" t="s">
        <v>14</v>
      </c>
      <c r="J33" s="7" t="s">
        <v>23</v>
      </c>
      <c r="K33" s="7" t="s">
        <v>26</v>
      </c>
      <c r="L33" s="7" t="s">
        <v>24</v>
      </c>
      <c r="M33" s="7" t="s">
        <v>17</v>
      </c>
      <c r="N33" s="8" t="s">
        <v>18</v>
      </c>
      <c r="O33" s="15"/>
      <c r="P33" s="15"/>
    </row>
    <row r="34" spans="1:21" x14ac:dyDescent="0.35">
      <c r="H34" s="10"/>
      <c r="I34" s="22"/>
      <c r="J34" s="1" t="s">
        <v>11</v>
      </c>
      <c r="K34" s="1">
        <v>0</v>
      </c>
      <c r="L34" s="3">
        <f>K34/K38</f>
        <v>0</v>
      </c>
      <c r="M34" s="1">
        <v>0</v>
      </c>
      <c r="N34" s="3">
        <f>-L34*M34</f>
        <v>0</v>
      </c>
      <c r="O34" s="15"/>
      <c r="P34" s="15"/>
    </row>
    <row r="35" spans="1:21" x14ac:dyDescent="0.35">
      <c r="H35" s="10"/>
      <c r="I35" s="22"/>
      <c r="J35" s="1" t="s">
        <v>10</v>
      </c>
      <c r="K35" s="1">
        <v>1</v>
      </c>
      <c r="L35" s="3">
        <f>K35/K38</f>
        <v>0.33333333333333331</v>
      </c>
      <c r="M35" s="1" t="str">
        <f t="shared" ref="M35:M37" si="14">IMLOG2(L35)</f>
        <v>-1.58496250072116</v>
      </c>
      <c r="N35" s="3">
        <f>-L35*M35</f>
        <v>0.52832083357371995</v>
      </c>
      <c r="O35" s="15"/>
      <c r="P35" s="15"/>
    </row>
    <row r="36" spans="1:21" x14ac:dyDescent="0.35">
      <c r="H36" s="10"/>
      <c r="I36" s="22"/>
      <c r="J36" s="1" t="s">
        <v>13</v>
      </c>
      <c r="K36" s="1">
        <v>1</v>
      </c>
      <c r="L36" s="3">
        <f>K36/K38</f>
        <v>0.33333333333333331</v>
      </c>
      <c r="M36" s="1" t="str">
        <f t="shared" si="14"/>
        <v>-1.58496250072116</v>
      </c>
      <c r="N36" s="3">
        <f>-L36*M36</f>
        <v>0.52832083357371995</v>
      </c>
      <c r="O36" s="15"/>
      <c r="P36" s="15"/>
      <c r="U36" s="9"/>
    </row>
    <row r="37" spans="1:21" x14ac:dyDescent="0.35">
      <c r="H37" s="10"/>
      <c r="I37" s="22"/>
      <c r="J37" s="1" t="s">
        <v>12</v>
      </c>
      <c r="K37" s="1">
        <v>1</v>
      </c>
      <c r="L37" s="3">
        <f>K37/K38</f>
        <v>0.33333333333333331</v>
      </c>
      <c r="M37" s="1" t="str">
        <f t="shared" si="14"/>
        <v>-1.58496250072116</v>
      </c>
      <c r="N37" s="3">
        <f>-L37*M37</f>
        <v>0.52832083357371995</v>
      </c>
      <c r="O37" s="15"/>
      <c r="P37" s="15"/>
    </row>
    <row r="38" spans="1:21" x14ac:dyDescent="0.35">
      <c r="H38" s="10"/>
      <c r="I38" s="22"/>
      <c r="J38" s="1" t="s">
        <v>22</v>
      </c>
      <c r="K38" s="1">
        <f>SUM(K34:K37)</f>
        <v>3</v>
      </c>
      <c r="L38" s="1"/>
      <c r="M38" s="1"/>
      <c r="N38" s="5">
        <f>SUM(N34:N37)</f>
        <v>1.5849625007211599</v>
      </c>
      <c r="O38" s="15"/>
      <c r="P38" s="15"/>
    </row>
    <row r="39" spans="1:21" x14ac:dyDescent="0.35">
      <c r="H39" s="10"/>
      <c r="I39" s="22" t="s">
        <v>16</v>
      </c>
      <c r="J39" s="7" t="s">
        <v>23</v>
      </c>
      <c r="K39" s="7" t="s">
        <v>26</v>
      </c>
      <c r="L39" s="7" t="s">
        <v>24</v>
      </c>
      <c r="M39" s="7" t="s">
        <v>17</v>
      </c>
      <c r="N39" s="8" t="s">
        <v>18</v>
      </c>
      <c r="O39" s="15"/>
      <c r="P39" s="15"/>
    </row>
    <row r="40" spans="1:21" x14ac:dyDescent="0.35">
      <c r="H40" s="10"/>
      <c r="I40" s="22"/>
      <c r="J40" s="1" t="s">
        <v>11</v>
      </c>
      <c r="K40" s="1">
        <v>0</v>
      </c>
      <c r="L40" s="1">
        <f>K40/K44</f>
        <v>0</v>
      </c>
      <c r="M40" s="1">
        <v>0</v>
      </c>
      <c r="N40" s="3">
        <f>-L40*M40</f>
        <v>0</v>
      </c>
      <c r="O40" s="15"/>
      <c r="P40" s="15"/>
    </row>
    <row r="41" spans="1:21" x14ac:dyDescent="0.35">
      <c r="H41" s="10"/>
      <c r="I41" s="22"/>
      <c r="J41" s="1" t="s">
        <v>10</v>
      </c>
      <c r="K41" s="1">
        <v>1</v>
      </c>
      <c r="L41" s="3">
        <f>K41/K44</f>
        <v>0.33333333333333331</v>
      </c>
      <c r="M41" s="1" t="str">
        <f t="shared" ref="M41:M43" si="15">IMLOG2(L41)</f>
        <v>-1.58496250072116</v>
      </c>
      <c r="N41" s="3">
        <f>-L41*M41</f>
        <v>0.52832083357371995</v>
      </c>
      <c r="O41" s="15"/>
      <c r="P41" s="15"/>
    </row>
    <row r="42" spans="1:21" x14ac:dyDescent="0.35">
      <c r="H42" s="10"/>
      <c r="I42" s="22"/>
      <c r="J42" s="1" t="s">
        <v>13</v>
      </c>
      <c r="K42" s="1">
        <v>1</v>
      </c>
      <c r="L42" s="3">
        <f>K42/K44</f>
        <v>0.33333333333333331</v>
      </c>
      <c r="M42" s="1" t="str">
        <f t="shared" si="15"/>
        <v>-1.58496250072116</v>
      </c>
      <c r="N42" s="3">
        <f>-L42*M42</f>
        <v>0.52832083357371995</v>
      </c>
      <c r="O42" s="15"/>
      <c r="P42" s="15"/>
    </row>
    <row r="43" spans="1:21" x14ac:dyDescent="0.35">
      <c r="H43" s="10"/>
      <c r="I43" s="22"/>
      <c r="J43" s="1" t="s">
        <v>12</v>
      </c>
      <c r="K43" s="1">
        <v>1</v>
      </c>
      <c r="L43" s="3">
        <f>K43/K44</f>
        <v>0.33333333333333331</v>
      </c>
      <c r="M43" s="1" t="str">
        <f t="shared" si="15"/>
        <v>-1.58496250072116</v>
      </c>
      <c r="N43" s="3">
        <f>-L43*M43</f>
        <v>0.52832083357371995</v>
      </c>
      <c r="O43" s="15"/>
      <c r="P43" s="15"/>
    </row>
    <row r="44" spans="1:21" x14ac:dyDescent="0.35">
      <c r="H44" s="10"/>
      <c r="I44" s="22"/>
      <c r="J44" s="1" t="s">
        <v>22</v>
      </c>
      <c r="K44" s="1">
        <f>SUM(K40:K43)</f>
        <v>3</v>
      </c>
      <c r="L44" s="1"/>
      <c r="M44" s="1"/>
      <c r="N44" s="5">
        <f>SUM(N40:N43)</f>
        <v>1.5849625007211599</v>
      </c>
      <c r="O44" s="15"/>
      <c r="P44" s="15"/>
    </row>
    <row r="47" spans="1:21" x14ac:dyDescent="0.35">
      <c r="A47" t="s">
        <v>33</v>
      </c>
    </row>
  </sheetData>
  <autoFilter ref="A1:F12" xr:uid="{AFAE2F77-9862-4941-AB1A-03546DCD099B}"/>
  <mergeCells count="14">
    <mergeCell ref="H27:H44"/>
    <mergeCell ref="H4:H26"/>
    <mergeCell ref="A24:C25"/>
    <mergeCell ref="O27:O44"/>
    <mergeCell ref="P27:P44"/>
    <mergeCell ref="O4:O26"/>
    <mergeCell ref="P4:P26"/>
    <mergeCell ref="I39:I44"/>
    <mergeCell ref="I4:I8"/>
    <mergeCell ref="I9:I14"/>
    <mergeCell ref="I15:I20"/>
    <mergeCell ref="I21:I26"/>
    <mergeCell ref="I27:I32"/>
    <mergeCell ref="I33:I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Kansara</dc:creator>
  <cp:lastModifiedBy>Vidhi Kansara</cp:lastModifiedBy>
  <dcterms:created xsi:type="dcterms:W3CDTF">2025-03-25T13:43:45Z</dcterms:created>
  <dcterms:modified xsi:type="dcterms:W3CDTF">2025-03-27T03:48:34Z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2025-03-25T18:28:40Z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39b17947-929a-4d12-a13a-ec5806c01044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